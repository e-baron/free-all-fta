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raphaelbaroni/code/infrabel/free-all-fta/"/>
    </mc:Choice>
  </mc:AlternateContent>
  <xr:revisionPtr revIDLastSave="0" documentId="13_ncr:1_{A8DECAE6-58A1-B044-A6D3-BF3F7A017550}" xr6:coauthVersionLast="47" xr6:coauthVersionMax="47" xr10:uidLastSave="{00000000-0000-0000-0000-000000000000}"/>
  <bookViews>
    <workbookView xWindow="25600" yWindow="0" windowWidth="25600" windowHeight="27000" xr2:uid="{00000000-000D-0000-FFFF-FFFF00000000}"/>
  </bookViews>
  <sheets>
    <sheet name="events" sheetId="1" r:id="rId1"/>
    <sheet name="gates" sheetId="2" r:id="rId2"/>
    <sheet name="tree" sheetId="3" r:id="rId3"/>
    <sheet name="conf" sheetId="4" state="hidden" r:id="rId4"/>
    <sheet name="specificData" sheetId="6" r:id="rId5"/>
    <sheet name="lists" sheetId="5" state="hidden" r:id="rId6"/>
  </sheets>
  <definedNames>
    <definedName name="ALL_IDS">_xlfn.ANCHORARRAY(lists!$A$2)</definedName>
    <definedName name="APPEARANCE_TYPES">lists!$F$2:$F$20</definedName>
    <definedName name="BOOL_TF">lists!$C$2:$C$20</definedName>
    <definedName name="EVENT_MODEL_TYPES">lists!$D$2:$D$20</definedName>
    <definedName name="GATE_TYPES">lists!$B$2:$B$20</definedName>
    <definedName name="maintenanceInterval">specificData!$C$2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5" l="1" a="1"/>
  <c r="A2" i="5" s="1"/>
  <c r="K11" i="1"/>
  <c r="K10" i="1"/>
  <c r="D11" i="1"/>
  <c r="D10" i="1"/>
  <c r="M2" i="1"/>
  <c r="G2" i="1"/>
  <c r="M15" i="1"/>
  <c r="F2" i="2"/>
  <c r="H15" i="1" l="1"/>
  <c r="H14" i="1"/>
  <c r="H13" i="1"/>
  <c r="M12" i="1" l="1"/>
  <c r="M13" i="1"/>
  <c r="G15" i="1"/>
  <c r="G14" i="1"/>
  <c r="C5" i="6"/>
  <c r="M4" i="1" s="1"/>
  <c r="C2" i="6"/>
  <c r="G13" i="1"/>
  <c r="G12" i="1"/>
  <c r="M11" i="1"/>
  <c r="G11" i="1"/>
  <c r="M10" i="1"/>
  <c r="G10" i="1"/>
  <c r="M9" i="1"/>
  <c r="G9" i="1"/>
  <c r="M8" i="1"/>
  <c r="G8" i="1"/>
  <c r="M7" i="1"/>
  <c r="G7" i="1"/>
  <c r="M6" i="1"/>
  <c r="G6" i="1"/>
  <c r="M5" i="1"/>
  <c r="G5" i="1"/>
  <c r="G4" i="1"/>
  <c r="M3" i="1"/>
  <c r="G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<sst xmlns="http://schemas.openxmlformats.org/spreadsheetml/2006/main" count="228" uniqueCount="186">
  <si>
    <t>id</t>
  </si>
  <si>
    <t>label</t>
  </si>
  <si>
    <t>comment</t>
  </si>
  <si>
    <t>Formula</t>
  </si>
  <si>
    <t>is_paged</t>
  </si>
  <si>
    <t>COLLISION_ANY_LX</t>
  </si>
  <si>
    <t>Collision on any LX of the network</t>
  </si>
  <si>
    <t>Provide the top event allocated frequency to allow the allocated frequency</t>
  </si>
  <si>
    <t>COLLISION_CAT3_NETWORK</t>
  </si>
  <si>
    <t>Collision on any LX of CAT3 of the network</t>
  </si>
  <si>
    <t>COLLISION_CAT12_NETWORK</t>
  </si>
  <si>
    <t>Collision on any LX of CAT1/CAT2 of the network</t>
  </si>
  <si>
    <t>COLLISION_SPECIFIC_CAT3_LX</t>
  </si>
  <si>
    <t>Collision on one specific CAT3 LX</t>
  </si>
  <si>
    <t>Collision on one specific CAT1/CAT2 LX</t>
  </si>
  <si>
    <t>DANGEROUS_SIGNALING_ASPECT_CAT3</t>
  </si>
  <si>
    <t>NO_RESTRICTIVE_SIGNAL_DISPLAYED</t>
  </si>
  <si>
    <t>NO_RESTRICTIVE_SIGNAL_DISPLAYED_LONG_SEQ</t>
  </si>
  <si>
    <t>No restrictive signal displayed when considering a long sequence to have 2 faulty Uls</t>
  </si>
  <si>
    <t>NO_RESTRICTIVE_SIGNAL_DISPLAYED_LOSS_PS</t>
  </si>
  <si>
    <t>No restrictive signal displayed when considering a loss of PS</t>
  </si>
  <si>
    <t>SPURIOUS_PERMISSIVE_SIGNAL_DISPLAYED</t>
  </si>
  <si>
    <t>DANGEROUS_LOSS_UL1_WITHOUT_ALARM1</t>
  </si>
  <si>
    <t>Dangerous loss of UL1 when alarm 1 (barrier) is unavailable</t>
  </si>
  <si>
    <t>DANGEROUS_LOSS_UL2_WITHOUT_ALARM2</t>
  </si>
  <si>
    <t>Dangerous loss of UL2 when alarm 2 (barrier) is unavailable</t>
  </si>
  <si>
    <t>FR_UL1</t>
  </si>
  <si>
    <t>FR_UL2</t>
  </si>
  <si>
    <t>FR_ALARM1</t>
  </si>
  <si>
    <t>FR_ALARM2</t>
  </si>
  <si>
    <t>FR_PS</t>
  </si>
  <si>
    <t>FR_BIG_ALARM</t>
  </si>
  <si>
    <t>model_type</t>
  </si>
  <si>
    <t>failure_rate</t>
  </si>
  <si>
    <t>mean_failure_time</t>
  </si>
  <si>
    <t>repair_rate</t>
  </si>
  <si>
    <t>mean_repair_time</t>
  </si>
  <si>
    <t>detection_time</t>
  </si>
  <si>
    <t>negation_time</t>
  </si>
  <si>
    <t>probability</t>
  </si>
  <si>
    <t>intensity</t>
  </si>
  <si>
    <t>Allocated value</t>
  </si>
  <si>
    <t>appearance</t>
  </si>
  <si>
    <t>ConstantRate</t>
  </si>
  <si>
    <t>Fixed</t>
  </si>
  <si>
    <t>M_CAT3_REP</t>
  </si>
  <si>
    <t>Multiplicity factor representing the CAT3 LXs by one representative CAT3 LX branch</t>
  </si>
  <si>
    <t>M_CAT12_REP</t>
  </si>
  <si>
    <t>Multiplicity factor representing the CAT1/2 LXs by one representative CAT1/2 LX branch</t>
  </si>
  <si>
    <t>P_TRAIN_PRESENT</t>
  </si>
  <si>
    <t>Probability of train presence at representative CAT3 LX</t>
  </si>
  <si>
    <t>P_ROAD_USER_PRESENT</t>
  </si>
  <si>
    <t>Probability of road user presence at representative CAT3 LX</t>
  </si>
  <si>
    <t>P_COLLISION_IF_ALL</t>
  </si>
  <si>
    <t>Probability of collision if all conditions are present</t>
  </si>
  <si>
    <t>Dangerous failure of Alarm1 / barrier1</t>
  </si>
  <si>
    <t>Dangerous failure of Alarm2 / barrier2</t>
  </si>
  <si>
    <t>Dangerous failure of UL1</t>
  </si>
  <si>
    <t>Dangerous failure of UL2</t>
  </si>
  <si>
    <t>Dangerous failure of big alarm</t>
  </si>
  <si>
    <t>Dangerous failure of both PS UL1 and UL2</t>
  </si>
  <si>
    <t>L01_ID</t>
  </si>
  <si>
    <t>L01_TYPE</t>
  </si>
  <si>
    <t>L02_ID</t>
  </si>
  <si>
    <t>L02_TYPE</t>
  </si>
  <si>
    <t>L03_ID</t>
  </si>
  <si>
    <t>L03_TYPE</t>
  </si>
  <si>
    <t>L04_ID</t>
  </si>
  <si>
    <t>L04_TYPE</t>
  </si>
  <si>
    <t>L05_ID</t>
  </si>
  <si>
    <t>L05_TYPE</t>
  </si>
  <si>
    <t>L06_ID</t>
  </si>
  <si>
    <t>L06_TYPE</t>
  </si>
  <si>
    <t>L07_ID</t>
  </si>
  <si>
    <t>L07_TYPE</t>
  </si>
  <si>
    <t>L08_ID</t>
  </si>
  <si>
    <t>L08_TYPE</t>
  </si>
  <si>
    <t>L09_ID</t>
  </si>
  <si>
    <t>L09_TYPE</t>
  </si>
  <si>
    <t>L10_ID</t>
  </si>
  <si>
    <t>L10_TYPE</t>
  </si>
  <si>
    <t>L11_ID</t>
  </si>
  <si>
    <t>L11_TYPE</t>
  </si>
  <si>
    <t>L12_ID</t>
  </si>
  <si>
    <t>L12_TYPE</t>
  </si>
  <si>
    <t>L13_ID</t>
  </si>
  <si>
    <t>L13_TYPE</t>
  </si>
  <si>
    <t>L14_ID</t>
  </si>
  <si>
    <t>L14_TYPE</t>
  </si>
  <si>
    <t>L15_ID</t>
  </si>
  <si>
    <t>L15_TYPE</t>
  </si>
  <si>
    <t>L16_ID</t>
  </si>
  <si>
    <t>L16_TYPE</t>
  </si>
  <si>
    <t>L17_ID</t>
  </si>
  <si>
    <t>L17_TYPE</t>
  </si>
  <si>
    <t>L18_ID</t>
  </si>
  <si>
    <t>L18_TYPE</t>
  </si>
  <si>
    <t>L19_ID</t>
  </si>
  <si>
    <t>L19_TYPE</t>
  </si>
  <si>
    <t>L20_ID</t>
  </si>
  <si>
    <t>L20_TYPE</t>
  </si>
  <si>
    <t>COLLISION_ANY_LX - Collision on any LX of the network</t>
  </si>
  <si>
    <t>OR</t>
  </si>
  <si>
    <t>COLLISION_CAT3_NETWORK - Collision on any LX of CAT3 of the network</t>
  </si>
  <si>
    <t>M_CAT3_REP - Multiplicity factor representing the CAT3 LXs by one representative CAT3 LX branch</t>
  </si>
  <si>
    <t>COLLISION_SPECIFIC_CAT3_LX - Collision on one specific CAT3 LX</t>
  </si>
  <si>
    <t>AND</t>
  </si>
  <si>
    <t>P_TRAIN_PRESENT - Probability of train presence at representative CAT3 LX</t>
  </si>
  <si>
    <t>P_ROAD_USER_PRESENT - Probability of road user presence at representative CAT3 LX</t>
  </si>
  <si>
    <t>P_COLLISION_IF_ALL - Probability of collision if all conditions are present</t>
  </si>
  <si>
    <t>DANGEROUS_SIGNALING_ASPECT_CAT3 - DANGEROUS_SIGNALING_ASPECT_CAT3</t>
  </si>
  <si>
    <t>NO_RESTRICTIVE_SIGNAL_DISPLAYED - NO_RESTRICTIVE_SIGNAL_DISPLAYED</t>
  </si>
  <si>
    <t>NO_RESTRICTIVE_SIGNAL_DISPLAYED_LONG_SEQ - No restrictive signal displayed when considering a long sequence to have 2 faulty Uls</t>
  </si>
  <si>
    <t>DANGEROUS_LOSS_UL1_WITHOUT_ALARM1 - Dangerous loss of UL1 when alarm 1 (barrier) is unavailable</t>
  </si>
  <si>
    <t>DANGEROUS_LOSS_UL2_WITHOUT_ALARM2 - Dangerous loss of UL2 when alarm 2 (barrier) is unavailable</t>
  </si>
  <si>
    <t>NO_RESTRICTIVE_SIGNAL_DISPLAYED_LOSS_PS - No restrictive signal displayed when considering a loss of PS</t>
  </si>
  <si>
    <t>FR_PS - Dangerous failure of both PS UL1 and UL2</t>
  </si>
  <si>
    <t>FR_BIG_ALARM - Dangerous failure of big alarm</t>
  </si>
  <si>
    <t>SPURIOUS_PERMISSIVE_SIGNAL_DISPLAYED - SPURIOUS_PERMISSIVE_SIGNAL_DISPLAYED</t>
  </si>
  <si>
    <t>COLLISION_CAT12_NETWORK - Collision on any LX of CAT1/CAT2 of the network</t>
  </si>
  <si>
    <t>M_CAT12_REP - Multiplicity factor representing the CAT1/2 LXs by one representative CAT1/2 LX branch</t>
  </si>
  <si>
    <t>clé</t>
  </si>
  <si>
    <t>valeur</t>
  </si>
  <si>
    <t>times</t>
  </si>
  <si>
    <t>1, 10, 100, 1000, 8760, 43800, 87600, 175200</t>
  </si>
  <si>
    <t>time_unit</t>
  </si>
  <si>
    <t>h</t>
  </si>
  <si>
    <t>computational_order</t>
  </si>
  <si>
    <t>1</t>
  </si>
  <si>
    <t>sample_size</t>
  </si>
  <si>
    <t>computational_tolerance</t>
  </si>
  <si>
    <t>0</t>
  </si>
  <si>
    <t>significant_figures</t>
  </si>
  <si>
    <t>3</t>
  </si>
  <si>
    <t>scientific_exponent</t>
  </si>
  <si>
    <t>ALL_IDS</t>
  </si>
  <si>
    <t>GATE_TYPES</t>
  </si>
  <si>
    <t>BOOL_TF</t>
  </si>
  <si>
    <t>EVENT_MODEL_TYPES</t>
  </si>
  <si>
    <t>APPEARANCE_TYPES</t>
  </si>
  <si>
    <t>True</t>
  </si>
  <si>
    <t>Basic</t>
  </si>
  <si>
    <t>False</t>
  </si>
  <si>
    <t>Undeveloped</t>
  </si>
  <si>
    <t>VOTE(2)</t>
  </si>
  <si>
    <t>House</t>
  </si>
  <si>
    <t>NULL</t>
  </si>
  <si>
    <t>A multiplicity is a deterministic factor representing the number of equivalent elements or replicated instances contributing to a hazard, used to aggregate a representative item into a population.
A multiplicity factor is not represented as an event in the demonstrative FTA and must be applied by scaling the associated failure rate or hazard rate of the representative element.</t>
  </si>
  <si>
    <t>ID</t>
  </si>
  <si>
    <t>Important data</t>
  </si>
  <si>
    <t>Value</t>
  </si>
  <si>
    <t>Unit</t>
  </si>
  <si>
    <t>N_ALL_LX</t>
  </si>
  <si>
    <t>Total number of LX</t>
  </si>
  <si>
    <t>N_CAT3_LX</t>
  </si>
  <si>
    <t>Number of CAT3 LX</t>
  </si>
  <si>
    <t>N_CAT12_LX</t>
  </si>
  <si>
    <t>Number of CAT1/CAT2 LX</t>
  </si>
  <si>
    <t>SDT</t>
  </si>
  <si>
    <t>Assumed constant exposure duration (chosen equal to mission time for conservatism)</t>
  </si>
  <si>
    <t>Dangerous failure of white UL_X</t>
  </si>
  <si>
    <t>DF_WHITE_UL_X</t>
  </si>
  <si>
    <t>DF_WHITE_UL_X - Dangerous failure of white UL_X</t>
  </si>
  <si>
    <t>COLLISION_SPECIFIC_CAT1_2_LX - Collision on one specific CAT1/CAT2 LX</t>
  </si>
  <si>
    <t>COLLISION_SPECIFIC_CAT1_2_LX</t>
  </si>
  <si>
    <t>DF_COLLISION_SPECIFIC_CAT1_2_LX</t>
  </si>
  <si>
    <t>Dangerous failure leading to collision on CAT1/2 LX</t>
  </si>
  <si>
    <t>DF_COLLISION_SPECIFIC_CAT1_2_LX - Dangerous failure leading to collision on CAT1/2 LX</t>
  </si>
  <si>
    <t>Multiplicity</t>
  </si>
  <si>
    <t>calculated frequency</t>
  </si>
  <si>
    <t>safety target</t>
  </si>
  <si>
    <t>differences</t>
  </si>
  <si>
    <t>Probability</t>
  </si>
  <si>
    <t>calculated mean repair time</t>
  </si>
  <si>
    <t>FR_UL1 - Dangerous failure of UL1</t>
  </si>
  <si>
    <t>FR_ALARM1 - Dangerous failure of Alarm1 / barrier1</t>
  </si>
  <si>
    <t>FR_UL2 - Dangerous failure of UL2</t>
  </si>
  <si>
    <t>FR_ALARM2 - Dangerous failure of Alarm2 / barrier2</t>
  </si>
  <si>
    <t>P_LX_CONT</t>
  </si>
  <si>
    <t>Probability of dangerous failure providing from a signal (and not an Interlocking or interface equipment)</t>
  </si>
  <si>
    <t>P_LX_CONT - Probability of dangerous failure providing from a signal (and not an Interlocking or interface equipment)</t>
  </si>
  <si>
    <t>COLLISION_ANY_LX_SIGNAL_DF</t>
  </si>
  <si>
    <t>Collision on any LX of the network due to a dangerous failure of a signal (not including other failures such as interlocking, interface to signal…)</t>
  </si>
  <si>
    <t>COLLISION_ANY_LX_SIGNAL_DF - Collision on any LX of the network due to a dangerous failure of a signal (not including other failures such as interlocking, interface to signal…)</t>
  </si>
  <si>
    <t>Maintenance interval</t>
  </si>
  <si>
    <t>MAINT_INT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</si>
</sst>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E+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0" xfId="0" applyFont="1"/>
    <xf numFmtId="0" fontId="1" fillId="0" borderId="0" xfId="0" applyFont="1"/>
    <xf numFmtId="164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11" fontId="0" fillId="0" borderId="0" xfId="0" applyNumberFormat="1" applyAlignment="1">
      <alignment horizontal="left" vertical="top"/>
    </xf>
    <xf numFmtId="11" fontId="0" fillId="2" borderId="0" xfId="0" applyNumberFormat="1" applyFill="1" applyAlignment="1">
      <alignment horizontal="left" vertical="top"/>
    </xf>
  </cellXfs>
  <cellStyles count="1">
    <cellStyle name="Normal" xfId="0" builtinId="0"/>
  </cellStyles>
  <dxfs count="56"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</font>
      <alignment horizontal="center" vertical="bottom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numFmt numFmtId="15" formatCode="0.00E+00"/>
      <alignment horizontal="left" vertical="top" textRotation="0" wrapText="0" indent="0" justifyLastLine="0" shrinkToFit="0" readingOrder="0"/>
    </dxf>
    <dxf>
      <numFmt numFmtId="15" formatCode="0.00E+00"/>
      <alignment horizontal="left" vertical="top" textRotation="0" wrapText="0" indent="0" justifyLastLine="0" shrinkToFit="0" readingOrder="0"/>
    </dxf>
    <dxf>
      <alignment horizontal="left" vertical="top"/>
    </dxf>
    <dxf>
      <alignment horizontal="left" vertical="top" textRotation="0" wrapText="0" indent="0" justifyLastLine="0" shrinkToFit="0" readingOrder="0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alignment horizontal="left" vertical="top"/>
    </dxf>
    <dxf>
      <numFmt numFmtId="15" formatCode="0.00E+00"/>
    </dxf>
    <dxf>
      <numFmt numFmtId="15" formatCode="0.00E+00"/>
    </dxf>
    <dxf>
      <numFmt numFmtId="164" formatCode="0.000000E+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events" displayName="tbl_events" ref="A1:O15">
  <autoFilter ref="A1:O15" xr:uid="{00000000-0009-0000-0100-000001000000}"/>
  <tableColumns count="15">
    <tableColumn id="1" xr3:uid="{00000000-0010-0000-0000-000001000000}" name="id"/>
    <tableColumn id="2" xr3:uid="{00000000-0010-0000-0000-000002000000}" name="label"/>
    <tableColumn id="3" xr3:uid="{00000000-0010-0000-0000-000003000000}" name="model_type"/>
    <tableColumn id="4" xr3:uid="{00000000-0010-0000-0000-000004000000}" name="failure_rate"/>
    <tableColumn id="5" xr3:uid="{00000000-0010-0000-0000-000005000000}" name="mean_failure_time"/>
    <tableColumn id="6" xr3:uid="{00000000-0010-0000-0000-000006000000}" name="repair_rate"/>
    <tableColumn id="7" xr3:uid="{00000000-0010-0000-0000-000007000000}" name="mean_repair_time" dataDxfId="55">
      <calculatedColumnFormula>IFERROR(VALUE(SUBSTITUTE(tbl_events[[#This Row],[detection_time]],".",","))+VALUE(SUBSTITUTE(tbl_events[[#This Row],[negation_time]],".",",")),0)</calculatedColumnFormula>
    </tableColumn>
    <tableColumn id="16" xr3:uid="{00000000-0010-0000-0000-000010000000}" name="detection_time"/>
    <tableColumn id="15" xr3:uid="{00000000-0010-0000-0000-00000F000000}" name="negation_time"/>
    <tableColumn id="8" xr3:uid="{00000000-0010-0000-0000-000008000000}" name="probability"/>
    <tableColumn id="9" xr3:uid="{00000000-0010-0000-0000-000009000000}" name="intensity"/>
    <tableColumn id="10" xr3:uid="{00000000-0010-0000-0000-00000A000000}" name="comment"/>
    <tableColumn id="12" xr3:uid="{00000000-0010-0000-0000-00000C000000}" name="Allocated value" dataDxfId="54"/>
    <tableColumn id="13" xr3:uid="{BF1D39E4-2844-B149-99CC-BAD2D8712528}" name="Formula" dataDxfId="53"/>
    <tableColumn id="11" xr3:uid="{00000000-0010-0000-0000-00000B000000}" name="appearanc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gates" displayName="tbl_gates" ref="A1:I14" dataDxfId="52">
  <autoFilter ref="A1:I14" xr:uid="{00000000-0009-0000-0100-000002000000}"/>
  <tableColumns count="9">
    <tableColumn id="1" xr3:uid="{00000000-0010-0000-0100-000001000000}" name="id" dataDxfId="51"/>
    <tableColumn id="2" xr3:uid="{00000000-0010-0000-0100-000002000000}" name="label" dataDxfId="50"/>
    <tableColumn id="4" xr3:uid="{00000000-0010-0000-0100-000004000000}" name="comment" dataDxfId="49"/>
    <tableColumn id="10" xr3:uid="{00000000-0010-0000-0100-00000A000000}" name="Formula" dataDxfId="48"/>
    <tableColumn id="3" xr3:uid="{00000000-0010-0000-0100-000003000000}" name="is_paged" dataDxfId="47"/>
    <tableColumn id="11" xr3:uid="{8333B313-5288-47B1-81E6-DDC72BDF0941}" name="safety target" dataDxfId="46"/>
    <tableColumn id="9" xr3:uid="{00000000-0010-0000-0100-000009000000}" name="calculated frequency" dataDxfId="45"/>
    <tableColumn id="14" xr3:uid="{61DA1A62-3985-1D44-AAAE-28E2F281A6DA}" name="calculated mean repair time" dataDxfId="44"/>
    <tableColumn id="12" xr3:uid="{07A48EEF-A119-490F-93B9-C6CF45F7B687}" name="differences" dataDxfId="4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47E647F-585F-AE4C-A62C-2BA782B5E934}" name="tbl_tree" displayName="tbl_tree" ref="A1:AN101" totalsRowShown="0" headerRowDxfId="42" dataDxfId="41">
  <autoFilter ref="A1:AN101" xr:uid="{A47E647F-585F-AE4C-A62C-2BA782B5E93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</autoFilter>
  <tableColumns count="40">
    <tableColumn id="1" xr3:uid="{401229BE-F777-B648-AE80-B807F1E2DBFC}" name="L01_ID" dataDxfId="40"/>
    <tableColumn id="2" xr3:uid="{31C3F4C1-452D-7147-B96D-B11AA9C79643}" name="L01_TYPE" dataDxfId="39"/>
    <tableColumn id="3" xr3:uid="{5B218165-B150-EC43-BCAD-802C524E86D9}" name="L02_ID" dataDxfId="38"/>
    <tableColumn id="4" xr3:uid="{9573DEBC-53D3-2143-984B-92A463E9E60D}" name="L02_TYPE" dataDxfId="37"/>
    <tableColumn id="5" xr3:uid="{13692F6C-6DE1-9D4C-8577-E574E0A8EB6B}" name="L03_ID" dataDxfId="36"/>
    <tableColumn id="6" xr3:uid="{426976C6-C7E5-D04E-9DBB-1C557388B7C9}" name="L03_TYPE" dataDxfId="35"/>
    <tableColumn id="7" xr3:uid="{A915D8C9-CEFE-244F-B433-F660D6E50C7C}" name="L04_ID" dataDxfId="34"/>
    <tableColumn id="8" xr3:uid="{65197F2C-EF25-2E46-90B6-895E98CFD7C0}" name="L04_TYPE" dataDxfId="33"/>
    <tableColumn id="9" xr3:uid="{E910C4D6-3B54-A648-BFA1-FC01EA7A2A55}" name="L05_ID" dataDxfId="32"/>
    <tableColumn id="10" xr3:uid="{D2B03439-4D4E-CD47-97DE-E0B3A5FDB1F1}" name="L05_TYPE" dataDxfId="31"/>
    <tableColumn id="11" xr3:uid="{74C0B85A-B832-8741-A2D9-08DC2F4879AA}" name="L06_ID" dataDxfId="30"/>
    <tableColumn id="12" xr3:uid="{B92EBD9D-4A24-DA4A-88C4-0A81D07D8086}" name="L06_TYPE" dataDxfId="29"/>
    <tableColumn id="13" xr3:uid="{016DA4C7-8215-B641-AD4D-C1D0DF327F77}" name="L07_ID" dataDxfId="28"/>
    <tableColumn id="14" xr3:uid="{637CBFF4-5BB8-FF42-9B02-7A1987F94AC3}" name="L07_TYPE" dataDxfId="27"/>
    <tableColumn id="15" xr3:uid="{C137B6B5-D13D-1F4A-BA2C-1A3E8B920758}" name="L08_ID" dataDxfId="26"/>
    <tableColumn id="16" xr3:uid="{464C3E7E-32D0-E241-9877-754248AC55C7}" name="L08_TYPE" dataDxfId="25"/>
    <tableColumn id="17" xr3:uid="{BA46960E-541C-E145-825C-59128A6C743F}" name="L09_ID" dataDxfId="24"/>
    <tableColumn id="18" xr3:uid="{E89CC4AD-95EB-014D-8DBE-F436EF55466C}" name="L09_TYPE" dataDxfId="23"/>
    <tableColumn id="19" xr3:uid="{3FD6C545-44B8-3842-A759-88777B042795}" name="L10_ID" dataDxfId="22"/>
    <tableColumn id="20" xr3:uid="{49356C37-1B14-B149-A924-F584A8E8E673}" name="L10_TYPE" dataDxfId="21"/>
    <tableColumn id="21" xr3:uid="{7C5FFA16-5A9A-1841-9030-4DA307AA50F0}" name="L11_ID" dataDxfId="20"/>
    <tableColumn id="22" xr3:uid="{8A93973C-3CC4-8A40-B55F-100EFCE8D7F7}" name="L11_TYPE" dataDxfId="19"/>
    <tableColumn id="23" xr3:uid="{DD76C8F8-6BA5-C845-A77A-5D1AA0A77864}" name="L12_ID" dataDxfId="18"/>
    <tableColumn id="24" xr3:uid="{8AC64CA4-93F0-2141-BD50-E4D9DD9C9024}" name="L12_TYPE" dataDxfId="17"/>
    <tableColumn id="25" xr3:uid="{550DF0A2-6801-F749-88B2-A7A835E56182}" name="L13_ID" dataDxfId="16"/>
    <tableColumn id="26" xr3:uid="{4C3EE3EC-7A40-A841-BAD0-48E3C334E8D9}" name="L13_TYPE" dataDxfId="15"/>
    <tableColumn id="27" xr3:uid="{A6E49830-6955-B84A-B566-FF0B78EB30E6}" name="L14_ID" dataDxfId="14"/>
    <tableColumn id="28" xr3:uid="{3F3D56A9-52B2-004D-9499-9ACD30BA203A}" name="L14_TYPE" dataDxfId="13"/>
    <tableColumn id="29" xr3:uid="{DCA847E6-73C7-AD4A-960B-D591D0E6C11A}" name="L15_ID" dataDxfId="12"/>
    <tableColumn id="30" xr3:uid="{543887BE-4EF7-6B47-B927-990C4BE01825}" name="L15_TYPE" dataDxfId="11"/>
    <tableColumn id="31" xr3:uid="{10C180E8-3949-1D45-9E94-282515BEF145}" name="L16_ID" dataDxfId="10"/>
    <tableColumn id="32" xr3:uid="{B7EBB1B1-1735-5B47-B9CC-948159228310}" name="L16_TYPE" dataDxfId="9"/>
    <tableColumn id="33" xr3:uid="{7206A6CF-69C5-FC4E-A9E8-264B0D1E4726}" name="L17_ID" dataDxfId="8"/>
    <tableColumn id="34" xr3:uid="{07AD8DCD-4D45-EA40-A9A2-2688AB7F6684}" name="L17_TYPE" dataDxfId="7"/>
    <tableColumn id="35" xr3:uid="{4E7AF7BF-AA4E-3F47-B180-C2D529E62147}" name="L18_ID" dataDxfId="6"/>
    <tableColumn id="36" xr3:uid="{017442D9-AE75-0A48-94BC-7049EBAFE4FE}" name="L18_TYPE" dataDxfId="5"/>
    <tableColumn id="37" xr3:uid="{9DBC7FA0-99D9-CE41-8900-053581244511}" name="L19_ID" dataDxfId="4"/>
    <tableColumn id="38" xr3:uid="{C3EA22FE-AE6C-C442-B5A7-EDEB4B3ED9F3}" name="L19_TYPE" dataDxfId="3"/>
    <tableColumn id="39" xr3:uid="{78974802-75A4-5C43-8DF9-40DF43417107}" name="L20_ID" dataDxfId="2"/>
    <tableColumn id="40" xr3:uid="{832CCD5E-4CF4-6448-BD02-1BB12881934A}" name="L20_TYPE" dataDxfId="1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conf" displayName="tbl_conf" ref="A1:B11" totalsRowShown="0" headerRowDxfId="0">
  <autoFilter ref="A1:B11" xr:uid="{00000000-0009-0000-0100-000003000000}"/>
  <tableColumns count="2">
    <tableColumn id="1" xr3:uid="{00000000-0010-0000-0200-000001000000}" name="clé"/>
    <tableColumn id="2" xr3:uid="{00000000-0010-0000-0200-000002000000}" name="valeu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specific_data" displayName="table_specific_data" ref="A1:D6" totalsRowShown="0">
  <autoFilter ref="A1:D6" xr:uid="{00000000-0009-0000-0100-000004000000}"/>
  <tableColumns count="4">
    <tableColumn id="3" xr3:uid="{00000000-0010-0000-0300-000003000000}" name="ID"/>
    <tableColumn id="1" xr3:uid="{00000000-0010-0000-0300-000001000000}" name="Important data"/>
    <tableColumn id="2" xr3:uid="{00000000-0010-0000-0300-000002000000}" name="Value"/>
    <tableColumn id="4" xr3:uid="{00000000-0010-0000-0300-000004000000}" name="Un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7" sqref="A17"/>
    </sheetView>
  </sheetViews>
  <sheetFormatPr baseColWidth="10" defaultColWidth="8.83203125" defaultRowHeight="15" x14ac:dyDescent="0.2"/>
  <cols>
    <col min="1" max="1" width="16" customWidth="1"/>
    <col min="2" max="2" width="59" customWidth="1"/>
    <col min="3" max="4" width="14" customWidth="1"/>
    <col min="5" max="5" width="19" customWidth="1"/>
    <col min="6" max="6" width="14" customWidth="1"/>
    <col min="7" max="9" width="18" customWidth="1"/>
    <col min="10" max="14" width="14" customWidth="1"/>
    <col min="15" max="15" width="16.33203125" customWidth="1"/>
    <col min="16" max="16" width="8.83203125" customWidth="1"/>
  </cols>
  <sheetData>
    <row r="1" spans="1:15" x14ac:dyDescent="0.2">
      <c r="A1" s="1" t="s">
        <v>0</v>
      </c>
      <c r="B1" s="1" t="s">
        <v>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2</v>
      </c>
      <c r="M1" s="1" t="s">
        <v>41</v>
      </c>
      <c r="N1" s="1" t="s">
        <v>3</v>
      </c>
      <c r="O1" s="1" t="s">
        <v>42</v>
      </c>
    </row>
    <row r="2" spans="1:15" ht="32" customHeight="1" x14ac:dyDescent="0.2">
      <c r="A2" s="9" t="s">
        <v>178</v>
      </c>
      <c r="B2" s="9" t="s">
        <v>179</v>
      </c>
      <c r="C2" t="s">
        <v>172</v>
      </c>
      <c r="G2" s="6">
        <f>IFERROR(VALUE(SUBSTITUTE(tbl_events[[#This Row],[detection_time]],".",","))+VALUE(SUBSTITUTE(tbl_events[[#This Row],[negation_time]],".",",")),0)</f>
        <v>0</v>
      </c>
      <c r="J2" s="7">
        <v>0.1</v>
      </c>
      <c r="K2">
        <v>0</v>
      </c>
      <c r="M2" s="7">
        <f>tbl_events[[#This Row],[probability]]</f>
        <v>0.1</v>
      </c>
      <c r="N2" s="7"/>
    </row>
    <row r="3" spans="1:15" ht="32" customHeight="1" x14ac:dyDescent="0.2">
      <c r="A3" s="9" t="s">
        <v>45</v>
      </c>
      <c r="B3" s="9" t="s">
        <v>46</v>
      </c>
      <c r="C3" t="s">
        <v>168</v>
      </c>
      <c r="G3" s="6">
        <f>IFERROR(VALUE(SUBSTITUTE(tbl_events[[#This Row],[detection_time]],".",","))+VALUE(SUBSTITUTE(tbl_events[[#This Row],[negation_time]],".",",")),0)</f>
        <v>0</v>
      </c>
      <c r="J3" s="7"/>
      <c r="M3" s="7">
        <f>specificData!C4</f>
        <v>300</v>
      </c>
      <c r="N3" s="7"/>
    </row>
    <row r="4" spans="1:15" ht="32" customHeight="1" x14ac:dyDescent="0.2">
      <c r="A4" s="9" t="s">
        <v>47</v>
      </c>
      <c r="B4" s="9" t="s">
        <v>48</v>
      </c>
      <c r="C4" t="s">
        <v>168</v>
      </c>
      <c r="G4" s="6">
        <f>IFERROR(VALUE(SUBSTITUTE(tbl_events[[#This Row],[detection_time]],".",","))+VALUE(SUBSTITUTE(tbl_events[[#This Row],[negation_time]],".",",")),0)</f>
        <v>0</v>
      </c>
      <c r="J4" s="7"/>
      <c r="M4" s="7">
        <f>specificData!C5</f>
        <v>1197</v>
      </c>
      <c r="N4" s="7"/>
    </row>
    <row r="5" spans="1:15" ht="16" customHeight="1" x14ac:dyDescent="0.2">
      <c r="A5" s="9" t="s">
        <v>49</v>
      </c>
      <c r="B5" s="9" t="s">
        <v>50</v>
      </c>
      <c r="C5" t="s">
        <v>172</v>
      </c>
      <c r="G5" s="6">
        <f>IFERROR(VALUE(SUBSTITUTE(tbl_events[[#This Row],[detection_time]],".",","))+VALUE(SUBSTITUTE(tbl_events[[#This Row],[negation_time]],".",",")),0)</f>
        <v>0</v>
      </c>
      <c r="J5" s="7">
        <v>1</v>
      </c>
      <c r="K5">
        <v>0</v>
      </c>
      <c r="M5" s="7">
        <f>tbl_events[[#This Row],[probability]]</f>
        <v>1</v>
      </c>
      <c r="N5" s="7"/>
    </row>
    <row r="6" spans="1:15" ht="32" customHeight="1" x14ac:dyDescent="0.2">
      <c r="A6" s="9" t="s">
        <v>51</v>
      </c>
      <c r="B6" s="9" t="s">
        <v>52</v>
      </c>
      <c r="C6" t="s">
        <v>172</v>
      </c>
      <c r="G6" s="6">
        <f>IFERROR(VALUE(SUBSTITUTE(tbl_events[[#This Row],[detection_time]],".",","))+VALUE(SUBSTITUTE(tbl_events[[#This Row],[negation_time]],".",",")),0)</f>
        <v>0</v>
      </c>
      <c r="J6" s="7">
        <v>1</v>
      </c>
      <c r="K6">
        <v>0</v>
      </c>
      <c r="M6" s="7">
        <f>tbl_events[[#This Row],[probability]]</f>
        <v>1</v>
      </c>
      <c r="N6" s="7"/>
    </row>
    <row r="7" spans="1:15" ht="32" customHeight="1" x14ac:dyDescent="0.2">
      <c r="A7" s="9" t="s">
        <v>53</v>
      </c>
      <c r="B7" s="9" t="s">
        <v>54</v>
      </c>
      <c r="C7" t="s">
        <v>172</v>
      </c>
      <c r="G7" s="6">
        <f>IFERROR(VALUE(SUBSTITUTE(tbl_events[[#This Row],[detection_time]],".",","))+VALUE(SUBSTITUTE(tbl_events[[#This Row],[negation_time]],".",",")),0)</f>
        <v>0</v>
      </c>
      <c r="J7" s="7">
        <v>3.6299999999999999E-2</v>
      </c>
      <c r="K7">
        <v>0</v>
      </c>
      <c r="M7" s="7">
        <f>tbl_events[[#This Row],[probability]]</f>
        <v>3.6299999999999999E-2</v>
      </c>
      <c r="N7" s="7"/>
    </row>
    <row r="8" spans="1:15" ht="16" customHeight="1" x14ac:dyDescent="0.2">
      <c r="A8" s="12" t="s">
        <v>28</v>
      </c>
      <c r="B8" t="s">
        <v>55</v>
      </c>
      <c r="C8" t="s">
        <v>43</v>
      </c>
      <c r="D8" s="7">
        <v>4.9999999999999998E-7</v>
      </c>
      <c r="G8" s="6">
        <f>IFERROR(VALUE(SUBSTITUTE(tbl_events[[#This Row],[detection_time]],".",","))+VALUE(SUBSTITUTE(tbl_events[[#This Row],[negation_time]],".",",")),0)</f>
        <v>8760</v>
      </c>
      <c r="H8">
        <v>8760</v>
      </c>
      <c r="I8">
        <v>0</v>
      </c>
      <c r="K8" s="7">
        <v>5.0000000000000004E-6</v>
      </c>
      <c r="M8" s="7">
        <f>tbl_events[[#This Row],[intensity]]</f>
        <v>5.0000000000000004E-6</v>
      </c>
      <c r="N8" s="7"/>
    </row>
    <row r="9" spans="1:15" ht="16" customHeight="1" x14ac:dyDescent="0.2">
      <c r="A9" s="12" t="s">
        <v>29</v>
      </c>
      <c r="B9" t="s">
        <v>56</v>
      </c>
      <c r="C9" t="s">
        <v>43</v>
      </c>
      <c r="D9" s="7">
        <v>4.9999999999999998E-7</v>
      </c>
      <c r="G9" s="6">
        <f>IFERROR(VALUE(SUBSTITUTE(tbl_events[[#This Row],[detection_time]],".",","))+VALUE(SUBSTITUTE(tbl_events[[#This Row],[negation_time]],".",",")),0)</f>
        <v>8760</v>
      </c>
      <c r="H9">
        <v>8760</v>
      </c>
      <c r="I9">
        <v>0</v>
      </c>
      <c r="K9" s="7">
        <v>5.0000000000000004E-6</v>
      </c>
      <c r="M9" s="7">
        <f>tbl_events[[#This Row],[intensity]]</f>
        <v>5.0000000000000004E-6</v>
      </c>
      <c r="N9" s="7"/>
    </row>
    <row r="10" spans="1:15" ht="21" customHeight="1" x14ac:dyDescent="0.2">
      <c r="A10" t="s">
        <v>26</v>
      </c>
      <c r="B10" t="s">
        <v>57</v>
      </c>
      <c r="C10" t="s">
        <v>43</v>
      </c>
      <c r="D10" s="7">
        <f>1/(10*8760)</f>
        <v>1.1415525114155251E-5</v>
      </c>
      <c r="G10" s="6">
        <f>IFERROR(VALUE(SUBSTITUTE(tbl_events[[#This Row],[detection_time]],".",","))+VALUE(SUBSTITUTE(tbl_events[[#This Row],[negation_time]],".",",")),0)</f>
        <v>4</v>
      </c>
      <c r="H10">
        <v>4</v>
      </c>
      <c r="I10">
        <v>0</v>
      </c>
      <c r="K10" s="7">
        <f t="shared" ref="K10:K11" si="0">1/(10*8760)</f>
        <v>1.1415525114155251E-5</v>
      </c>
      <c r="M10" s="7">
        <f>tbl_events[[#This Row],[intensity]]</f>
        <v>1.1415525114155251E-5</v>
      </c>
      <c r="N10" s="7"/>
    </row>
    <row r="11" spans="1:15" x14ac:dyDescent="0.2">
      <c r="A11" t="s">
        <v>27</v>
      </c>
      <c r="B11" t="s">
        <v>58</v>
      </c>
      <c r="C11" t="s">
        <v>43</v>
      </c>
      <c r="D11" s="7">
        <f>1/(10*8760)</f>
        <v>1.1415525114155251E-5</v>
      </c>
      <c r="G11" s="6">
        <f>IFERROR(VALUE(SUBSTITUTE(tbl_events[[#This Row],[detection_time]],".",","))+VALUE(SUBSTITUTE(tbl_events[[#This Row],[negation_time]],".",",")),0)</f>
        <v>4</v>
      </c>
      <c r="H11">
        <v>4</v>
      </c>
      <c r="I11">
        <v>0</v>
      </c>
      <c r="K11" s="7">
        <f t="shared" si="0"/>
        <v>1.1415525114155251E-5</v>
      </c>
      <c r="M11" s="7">
        <f>tbl_events[[#This Row],[intensity]]</f>
        <v>1.1415525114155251E-5</v>
      </c>
      <c r="N11" s="7"/>
    </row>
    <row r="12" spans="1:15" x14ac:dyDescent="0.2">
      <c r="A12" t="s">
        <v>31</v>
      </c>
      <c r="B12" t="s">
        <v>59</v>
      </c>
      <c r="C12" t="s">
        <v>43</v>
      </c>
      <c r="D12" s="7">
        <v>4.9999999999999998E-7</v>
      </c>
      <c r="G12" s="6">
        <f>IFERROR(VALUE(SUBSTITUTE(tbl_events[[#This Row],[detection_time]],".",","))+VALUE(SUBSTITUTE(tbl_events[[#This Row],[negation_time]],".",",")),0)</f>
        <v>8760</v>
      </c>
      <c r="H12">
        <v>8760</v>
      </c>
      <c r="I12">
        <v>0</v>
      </c>
      <c r="K12" s="7">
        <v>4.9999999999999998E-7</v>
      </c>
      <c r="M12" s="7">
        <f>tbl_events[[#This Row],[intensity]]</f>
        <v>4.9999999999999998E-7</v>
      </c>
      <c r="N12" s="7"/>
    </row>
    <row r="13" spans="1:15" x14ac:dyDescent="0.2">
      <c r="A13" t="s">
        <v>30</v>
      </c>
      <c r="B13" t="s">
        <v>60</v>
      </c>
      <c r="C13" t="s">
        <v>43</v>
      </c>
      <c r="D13" s="7">
        <v>4.9999999999999998E-7</v>
      </c>
      <c r="G13" s="6">
        <f>IFERROR(VALUE(SUBSTITUTE(tbl_events[[#This Row],[detection_time]],".",","))+VALUE(SUBSTITUTE(tbl_events[[#This Row],[negation_time]],".",",")),0)</f>
        <v>2.7777777777777801E-3</v>
      </c>
      <c r="H13">
        <f>10/3600</f>
        <v>2.7777777777777779E-3</v>
      </c>
      <c r="I13">
        <v>0</v>
      </c>
      <c r="K13" s="7">
        <v>4.9999999999999998E-7</v>
      </c>
      <c r="M13" s="7">
        <f>tbl_events[[#This Row],[intensity]]</f>
        <v>4.9999999999999998E-7</v>
      </c>
      <c r="N13" s="7"/>
    </row>
    <row r="14" spans="1:15" x14ac:dyDescent="0.2">
      <c r="A14" t="s">
        <v>161</v>
      </c>
      <c r="B14" t="s">
        <v>160</v>
      </c>
      <c r="C14" t="s">
        <v>43</v>
      </c>
      <c r="D14" s="7">
        <v>5.0000000000000001E-9</v>
      </c>
      <c r="G14" s="6">
        <f>IFERROR(VALUE(SUBSTITUTE(tbl_events[[#This Row],[detection_time]],".",","))+VALUE(SUBSTITUTE(tbl_events[[#This Row],[negation_time]],".",",")),0)</f>
        <v>219000</v>
      </c>
      <c r="H14">
        <f>25*8760</f>
        <v>219000</v>
      </c>
      <c r="I14">
        <v>0</v>
      </c>
      <c r="K14" s="7">
        <v>5.0000000000000001E-9</v>
      </c>
      <c r="M14" s="7">
        <v>5.0000000000000001E-9</v>
      </c>
      <c r="N14" s="7"/>
    </row>
    <row r="15" spans="1:15" x14ac:dyDescent="0.2">
      <c r="A15" t="s">
        <v>165</v>
      </c>
      <c r="B15" t="s">
        <v>166</v>
      </c>
      <c r="C15" t="s">
        <v>43</v>
      </c>
      <c r="G15" s="6">
        <f>IFERROR(VALUE(SUBSTITUTE(tbl_events[[#This Row],[detection_time]],".",","))+VALUE(SUBSTITUTE(tbl_events[[#This Row],[negation_time]],".",",")),0)</f>
        <v>219000</v>
      </c>
      <c r="H15">
        <f>25*8760</f>
        <v>219000</v>
      </c>
      <c r="I15">
        <v>0</v>
      </c>
      <c r="K15" s="7">
        <v>5.0000000000000002E-11</v>
      </c>
      <c r="M15" s="7">
        <f>tbl_events[[#This Row],[intensity]]</f>
        <v>5.0000000000000002E-11</v>
      </c>
      <c r="N15" s="7"/>
    </row>
  </sheetData>
  <dataValidations count="2">
    <dataValidation type="list" allowBlank="1" sqref="C3:C482" xr:uid="{00000000-0002-0000-0000-000000000000}">
      <formula1>EVENT_MODEL_TYPES</formula1>
    </dataValidation>
    <dataValidation type="list" allowBlank="1" sqref="O2:O482" xr:uid="{00000000-0002-0000-0000-000001000000}">
      <formula1>APPEARANCE_TYPES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zoomScale="120" zoomScaleNormal="120" workbookViewId="0">
      <selection activeCell="C15" sqref="C15"/>
    </sheetView>
  </sheetViews>
  <sheetFormatPr baseColWidth="10" defaultColWidth="8.83203125" defaultRowHeight="15" x14ac:dyDescent="0.2"/>
  <cols>
    <col min="1" max="1" width="23.5" customWidth="1"/>
    <col min="2" max="2" width="45.33203125" customWidth="1"/>
    <col min="3" max="4" width="27.83203125" customWidth="1"/>
    <col min="5" max="5" width="11.33203125" customWidth="1"/>
    <col min="6" max="9" width="15.832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170</v>
      </c>
      <c r="G1" s="1" t="s">
        <v>169</v>
      </c>
      <c r="H1" s="1" t="s">
        <v>173</v>
      </c>
      <c r="I1" s="1" t="s">
        <v>171</v>
      </c>
    </row>
    <row r="2" spans="1:9" ht="16" customHeight="1" x14ac:dyDescent="0.2">
      <c r="A2" s="13" t="s">
        <v>5</v>
      </c>
      <c r="B2" s="3" t="s">
        <v>6</v>
      </c>
      <c r="C2" s="3" t="s">
        <v>7</v>
      </c>
      <c r="D2" s="3"/>
      <c r="F2" s="15">
        <f>0.00000457</f>
        <v>4.5700000000000003E-6</v>
      </c>
      <c r="G2" s="14"/>
      <c r="H2" s="14"/>
      <c r="I2" s="14"/>
    </row>
    <row r="3" spans="1:9" ht="16" customHeight="1" x14ac:dyDescent="0.2">
      <c r="A3" s="13" t="s">
        <v>181</v>
      </c>
      <c r="B3" s="3" t="s">
        <v>182</v>
      </c>
      <c r="C3" s="3"/>
      <c r="D3" s="3"/>
      <c r="F3" s="15"/>
      <c r="G3" s="14"/>
      <c r="H3" s="14"/>
      <c r="I3" s="14"/>
    </row>
    <row r="4" spans="1:9" ht="16" customHeight="1" x14ac:dyDescent="0.2">
      <c r="A4" s="13" t="s">
        <v>8</v>
      </c>
      <c r="B4" s="3" t="s">
        <v>9</v>
      </c>
      <c r="C4" s="3"/>
      <c r="D4" s="3"/>
      <c r="F4" s="3"/>
      <c r="G4" s="14"/>
      <c r="H4" s="14"/>
      <c r="I4" s="14"/>
    </row>
    <row r="5" spans="1:9" ht="32" customHeight="1" x14ac:dyDescent="0.2">
      <c r="A5" s="13" t="s">
        <v>10</v>
      </c>
      <c r="B5" s="3" t="s">
        <v>11</v>
      </c>
      <c r="C5" s="3"/>
      <c r="D5" s="3"/>
      <c r="F5" s="3"/>
      <c r="G5" s="14"/>
      <c r="H5" s="14"/>
      <c r="I5" s="14"/>
    </row>
    <row r="6" spans="1:9" ht="32" customHeight="1" x14ac:dyDescent="0.2">
      <c r="A6" s="13" t="s">
        <v>12</v>
      </c>
      <c r="B6" s="3" t="s">
        <v>13</v>
      </c>
      <c r="C6" s="3"/>
      <c r="D6" s="3"/>
      <c r="F6" s="3"/>
      <c r="G6" s="14"/>
      <c r="H6" s="14"/>
      <c r="I6" s="14"/>
    </row>
    <row r="7" spans="1:9" ht="32" customHeight="1" x14ac:dyDescent="0.2">
      <c r="A7" s="13" t="s">
        <v>164</v>
      </c>
      <c r="B7" s="3" t="s">
        <v>14</v>
      </c>
      <c r="C7" s="3"/>
      <c r="D7" s="3"/>
      <c r="F7" s="3"/>
      <c r="G7" s="14"/>
      <c r="H7" s="14"/>
      <c r="I7" s="14"/>
    </row>
    <row r="8" spans="1:9" ht="32" customHeight="1" x14ac:dyDescent="0.2">
      <c r="A8" s="13" t="s">
        <v>15</v>
      </c>
      <c r="B8" s="13" t="s">
        <v>15</v>
      </c>
      <c r="C8" s="3"/>
      <c r="D8" s="3"/>
      <c r="E8" t="s">
        <v>140</v>
      </c>
      <c r="F8" s="3"/>
      <c r="G8" s="14"/>
      <c r="H8" s="14"/>
      <c r="I8" s="14"/>
    </row>
    <row r="9" spans="1:9" ht="32" customHeight="1" x14ac:dyDescent="0.2">
      <c r="A9" s="13" t="s">
        <v>16</v>
      </c>
      <c r="B9" s="13" t="s">
        <v>16</v>
      </c>
      <c r="C9" s="3"/>
      <c r="D9" s="3"/>
      <c r="F9" s="3"/>
      <c r="G9" s="14"/>
      <c r="H9" s="14"/>
      <c r="I9" s="14"/>
    </row>
    <row r="10" spans="1:9" ht="32" customHeight="1" x14ac:dyDescent="0.2">
      <c r="A10" s="13" t="s">
        <v>17</v>
      </c>
      <c r="B10" s="13" t="s">
        <v>18</v>
      </c>
      <c r="C10" s="3"/>
      <c r="D10" s="3"/>
      <c r="E10" t="s">
        <v>140</v>
      </c>
      <c r="F10" s="3"/>
      <c r="G10" s="14"/>
      <c r="H10" s="14"/>
      <c r="I10" s="14"/>
    </row>
    <row r="11" spans="1:9" ht="32" customHeight="1" x14ac:dyDescent="0.2">
      <c r="A11" s="13" t="s">
        <v>19</v>
      </c>
      <c r="B11" s="13" t="s">
        <v>20</v>
      </c>
      <c r="C11" s="3"/>
      <c r="D11" s="3"/>
      <c r="F11" s="3"/>
      <c r="G11" s="14"/>
      <c r="H11" s="14"/>
      <c r="I11" s="14"/>
    </row>
    <row r="12" spans="1:9" ht="32" customHeight="1" x14ac:dyDescent="0.2">
      <c r="A12" s="13" t="s">
        <v>21</v>
      </c>
      <c r="B12" s="13" t="s">
        <v>21</v>
      </c>
      <c r="C12" s="3"/>
      <c r="D12" s="3"/>
      <c r="F12" s="3"/>
      <c r="G12" s="14"/>
      <c r="H12" s="14"/>
      <c r="I12" s="14"/>
    </row>
    <row r="13" spans="1:9" ht="32" customHeight="1" x14ac:dyDescent="0.2">
      <c r="A13" s="13" t="s">
        <v>22</v>
      </c>
      <c r="B13" s="13" t="s">
        <v>23</v>
      </c>
      <c r="C13" s="3"/>
      <c r="D13" s="3"/>
      <c r="F13" s="3"/>
      <c r="G13" s="14"/>
      <c r="H13" s="14"/>
      <c r="I13" s="14"/>
    </row>
    <row r="14" spans="1:9" ht="32" customHeight="1" x14ac:dyDescent="0.2">
      <c r="A14" s="13" t="s">
        <v>24</v>
      </c>
      <c r="B14" s="13" t="s">
        <v>25</v>
      </c>
      <c r="C14" s="3"/>
      <c r="D14" s="3"/>
      <c r="F14" s="3"/>
      <c r="G14" s="14"/>
      <c r="H14" s="14"/>
      <c r="I14" s="14"/>
    </row>
    <row r="20" spans="2:2" x14ac:dyDescent="0.2">
      <c r="B20" s="7"/>
    </row>
    <row r="25" spans="2:2" x14ac:dyDescent="0.2">
      <c r="B25" s="7"/>
    </row>
    <row r="28" spans="2:2" x14ac:dyDescent="0.2">
      <c r="B28" s="7"/>
    </row>
  </sheetData>
  <dataValidations count="1">
    <dataValidation type="list" allowBlank="1" sqref="E2:E502" xr:uid="{00000000-0002-0000-0100-000001000000}">
      <formula1>BOOL_TF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28"/>
  <sheetViews>
    <sheetView zoomScale="90" zoomScaleNormal="90" workbookViewId="0">
      <pane ySplit="1" topLeftCell="A2" activePane="bottomLeft" state="frozen"/>
      <selection pane="bottomLeft" activeCell="C18" sqref="C18"/>
    </sheetView>
  </sheetViews>
  <sheetFormatPr baseColWidth="10" defaultColWidth="9.1640625" defaultRowHeight="15" x14ac:dyDescent="0.2"/>
  <cols>
    <col min="1" max="1" width="25" style="3" customWidth="1"/>
    <col min="2" max="2" width="10.6640625" style="3" customWidth="1"/>
    <col min="3" max="3" width="25" style="3" customWidth="1"/>
    <col min="4" max="4" width="10.6640625" style="3" customWidth="1"/>
    <col min="5" max="5" width="25" style="3" customWidth="1"/>
    <col min="6" max="6" width="10.6640625" style="3" customWidth="1"/>
    <col min="7" max="7" width="25" style="3" customWidth="1"/>
    <col min="8" max="8" width="10.6640625" style="3" customWidth="1"/>
    <col min="9" max="9" width="25" style="3" customWidth="1"/>
    <col min="10" max="10" width="10.6640625" style="3" customWidth="1"/>
    <col min="11" max="11" width="25" style="3" customWidth="1"/>
    <col min="12" max="12" width="10.6640625" style="3" customWidth="1"/>
    <col min="13" max="13" width="25" style="3" customWidth="1"/>
    <col min="14" max="14" width="10.6640625" style="3" customWidth="1"/>
    <col min="15" max="15" width="25" style="3" customWidth="1"/>
    <col min="16" max="16" width="10.6640625" style="3" customWidth="1"/>
    <col min="17" max="17" width="25" style="3" customWidth="1"/>
    <col min="18" max="18" width="10.6640625" style="3" customWidth="1"/>
    <col min="19" max="19" width="25" style="3" customWidth="1"/>
    <col min="20" max="20" width="10.6640625" style="3" customWidth="1"/>
    <col min="21" max="21" width="25" style="3" customWidth="1"/>
    <col min="22" max="22" width="10.6640625" style="3" customWidth="1"/>
    <col min="23" max="23" width="25" style="3" customWidth="1"/>
    <col min="24" max="24" width="10.6640625" style="3" customWidth="1"/>
    <col min="25" max="25" width="25" style="3" customWidth="1"/>
    <col min="26" max="26" width="10.6640625" style="3" customWidth="1"/>
    <col min="27" max="27" width="25" style="3" customWidth="1"/>
    <col min="28" max="28" width="10.6640625" style="3" customWidth="1"/>
    <col min="29" max="29" width="25" style="3" customWidth="1"/>
    <col min="30" max="30" width="10.6640625" style="3" customWidth="1"/>
    <col min="31" max="31" width="25" style="3" customWidth="1"/>
    <col min="32" max="32" width="10.6640625" style="3" customWidth="1"/>
    <col min="33" max="33" width="25" style="3" customWidth="1"/>
    <col min="34" max="34" width="10.6640625" style="3" customWidth="1"/>
    <col min="35" max="35" width="25" style="3" customWidth="1"/>
    <col min="36" max="36" width="10.6640625" style="3" customWidth="1"/>
    <col min="37" max="37" width="25" style="3" customWidth="1"/>
    <col min="38" max="38" width="10.6640625" style="3" customWidth="1"/>
    <col min="39" max="39" width="25" style="3" customWidth="1"/>
    <col min="40" max="40" width="10.6640625" style="3" customWidth="1"/>
    <col min="41" max="43" width="9.1640625" style="3" customWidth="1"/>
    <col min="44" max="16384" width="9.1640625" style="3"/>
  </cols>
  <sheetData>
    <row r="1" spans="1:40" x14ac:dyDescent="0.2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2" t="s">
        <v>78</v>
      </c>
      <c r="S1" s="2" t="s">
        <v>79</v>
      </c>
      <c r="T1" s="2" t="s">
        <v>80</v>
      </c>
      <c r="U1" s="2" t="s">
        <v>81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  <c r="AE1" s="2" t="s">
        <v>91</v>
      </c>
      <c r="AF1" s="2" t="s">
        <v>92</v>
      </c>
      <c r="AG1" s="2" t="s">
        <v>93</v>
      </c>
      <c r="AH1" s="2" t="s">
        <v>94</v>
      </c>
      <c r="AI1" s="2" t="s">
        <v>95</v>
      </c>
      <c r="AJ1" s="2" t="s">
        <v>96</v>
      </c>
      <c r="AK1" s="2" t="s">
        <v>97</v>
      </c>
      <c r="AL1" s="2" t="s">
        <v>98</v>
      </c>
      <c r="AM1" s="2" t="s">
        <v>99</v>
      </c>
      <c r="AN1" s="2" t="s">
        <v>100</v>
      </c>
    </row>
    <row r="2" spans="1:40" x14ac:dyDescent="0.2">
      <c r="A2" s="3" t="s">
        <v>101</v>
      </c>
      <c r="B2" s="3" t="s">
        <v>106</v>
      </c>
    </row>
    <row r="3" spans="1:40" x14ac:dyDescent="0.2">
      <c r="C3" s="3" t="s">
        <v>180</v>
      </c>
    </row>
    <row r="4" spans="1:40" x14ac:dyDescent="0.2">
      <c r="C4" s="3" t="s">
        <v>107</v>
      </c>
    </row>
    <row r="5" spans="1:40" x14ac:dyDescent="0.2">
      <c r="C5" s="3" t="s">
        <v>108</v>
      </c>
    </row>
    <row r="6" spans="1:40" x14ac:dyDescent="0.2">
      <c r="C6" s="3" t="s">
        <v>109</v>
      </c>
    </row>
    <row r="7" spans="1:40" x14ac:dyDescent="0.2">
      <c r="C7" s="3" t="s">
        <v>183</v>
      </c>
      <c r="D7" s="3" t="s">
        <v>102</v>
      </c>
    </row>
    <row r="8" spans="1:40" x14ac:dyDescent="0.2">
      <c r="E8" s="3" t="s">
        <v>103</v>
      </c>
      <c r="F8" s="3" t="s">
        <v>106</v>
      </c>
    </row>
    <row r="9" spans="1:40" x14ac:dyDescent="0.2">
      <c r="G9" s="3" t="s">
        <v>104</v>
      </c>
    </row>
    <row r="10" spans="1:40" x14ac:dyDescent="0.2">
      <c r="G10" s="3" t="s">
        <v>105</v>
      </c>
      <c r="H10" s="3" t="s">
        <v>106</v>
      </c>
    </row>
    <row r="11" spans="1:40" x14ac:dyDescent="0.2">
      <c r="I11" s="3" t="s">
        <v>110</v>
      </c>
      <c r="J11" s="3" t="s">
        <v>102</v>
      </c>
    </row>
    <row r="12" spans="1:40" x14ac:dyDescent="0.2">
      <c r="K12" s="3" t="s">
        <v>111</v>
      </c>
      <c r="L12" s="3" t="s">
        <v>102</v>
      </c>
    </row>
    <row r="13" spans="1:40" x14ac:dyDescent="0.2">
      <c r="M13" s="3" t="s">
        <v>112</v>
      </c>
      <c r="N13" s="3" t="s">
        <v>106</v>
      </c>
    </row>
    <row r="14" spans="1:40" x14ac:dyDescent="0.2">
      <c r="O14" s="3" t="s">
        <v>113</v>
      </c>
      <c r="P14" s="3" t="s">
        <v>106</v>
      </c>
    </row>
    <row r="15" spans="1:40" x14ac:dyDescent="0.2">
      <c r="Q15" s="3" t="s">
        <v>174</v>
      </c>
    </row>
    <row r="16" spans="1:40" x14ac:dyDescent="0.2">
      <c r="Q16" s="3" t="s">
        <v>175</v>
      </c>
    </row>
    <row r="17" spans="5:17" x14ac:dyDescent="0.2">
      <c r="O17" s="3" t="s">
        <v>114</v>
      </c>
      <c r="P17" s="3" t="s">
        <v>106</v>
      </c>
    </row>
    <row r="18" spans="5:17" x14ac:dyDescent="0.2">
      <c r="Q18" s="3" t="s">
        <v>176</v>
      </c>
    </row>
    <row r="19" spans="5:17" x14ac:dyDescent="0.2">
      <c r="Q19" s="3" t="s">
        <v>177</v>
      </c>
    </row>
    <row r="20" spans="5:17" x14ac:dyDescent="0.2">
      <c r="M20" s="3" t="s">
        <v>115</v>
      </c>
      <c r="N20" s="3" t="s">
        <v>106</v>
      </c>
    </row>
    <row r="21" spans="5:17" x14ac:dyDescent="0.2">
      <c r="O21" s="3" t="s">
        <v>116</v>
      </c>
    </row>
    <row r="22" spans="5:17" x14ac:dyDescent="0.2">
      <c r="O22" s="3" t="s">
        <v>117</v>
      </c>
    </row>
    <row r="23" spans="5:17" x14ac:dyDescent="0.2">
      <c r="K23" s="3" t="s">
        <v>118</v>
      </c>
      <c r="L23" s="3" t="s">
        <v>102</v>
      </c>
    </row>
    <row r="24" spans="5:17" x14ac:dyDescent="0.2">
      <c r="M24" s="3" t="s">
        <v>162</v>
      </c>
    </row>
    <row r="25" spans="5:17" x14ac:dyDescent="0.2">
      <c r="E25" s="3" t="s">
        <v>119</v>
      </c>
      <c r="F25" s="3" t="s">
        <v>106</v>
      </c>
    </row>
    <row r="26" spans="5:17" x14ac:dyDescent="0.2">
      <c r="G26" s="3" t="s">
        <v>120</v>
      </c>
    </row>
    <row r="27" spans="5:17" x14ac:dyDescent="0.2">
      <c r="G27" s="3" t="s">
        <v>163</v>
      </c>
      <c r="H27" s="3" t="s">
        <v>106</v>
      </c>
    </row>
    <row r="28" spans="5:17" x14ac:dyDescent="0.2">
      <c r="I28" s="3" t="s">
        <v>167</v>
      </c>
    </row>
  </sheetData>
  <dataValidations count="4">
    <dataValidation type="list" allowBlank="1" sqref="W2 U2 S2 G2 Q2 O2 C2:E2 M2 K2 I2 AM2 AK2 AI2 AG2 AE2 AC2 AA2 Y2 A2" xr:uid="{00000000-0002-0000-0200-000002000000}">
      <formula1>ALL_IDS</formula1>
    </dataValidation>
    <dataValidation type="list" allowBlank="1" showInputMessage="1" showErrorMessage="1" errorTitle="Valeur invalide" error="Utilisez une valeur autorisée par la liste GATE_TYPES." promptTitle="Type de porte" prompt="Sélectionnez une valeur depuis la liste GATE_TYPES." sqref="Z2 AJ2 AH2 J2 AF2 V2 AD2 L2 F2 AL2 AB2 P2 N2 X2 B2 R2 H2 T2 AN2" xr:uid="{00000000-0002-0000-0200-000003000000}">
      <formula1>GATE_TYPES</formula1>
    </dataValidation>
    <dataValidation type="list" allowBlank="1" showInputMessage="1" showErrorMessage="1" sqref="A3:A101 C3:C101 D3:D101 E3:E101 G3:G101 I3:I101 K3:K101 M3:M101 O3:O101 Q3:Q101 S3:S101 U3:U101 W3:W101 Y3:Y101 AA3:AA101 AC3:AC101 AE3:AE101 AG3:AG101 AI3:AI101 AK3:AK101 AM3:AM101" xr:uid="{729B451C-DA96-284D-84B5-7BE46982DBB7}">
      <formula1>ALL_IDS</formula1>
    </dataValidation>
    <dataValidation type="list" allowBlank="1" showInputMessage="1" showErrorMessage="1" sqref="B3:B101 F3:F101 H3:H101 J3:J101 L3:L101 N3:N101 P3:P101 R3:R101 T3:T101 V3:V101 X3:X101 Z3:Z101 AB3:AB101 AD3:AD101 AF3:AF101 AH3:AH101 AJ3:AJ101 AL3:AL101 AN3:AN101" xr:uid="{4CEFD0C8-53F5-AC41-A102-216495CB50A6}">
      <formula1>GATE_TYPES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B23" sqref="B23:B27"/>
    </sheetView>
  </sheetViews>
  <sheetFormatPr baseColWidth="10" defaultColWidth="8.83203125" defaultRowHeight="15" x14ac:dyDescent="0.2"/>
  <cols>
    <col min="1" max="1" width="25" customWidth="1"/>
    <col min="2" max="2" width="46" customWidth="1"/>
  </cols>
  <sheetData>
    <row r="1" spans="1:2" x14ac:dyDescent="0.2">
      <c r="A1" s="1" t="s">
        <v>121</v>
      </c>
      <c r="B1" s="1" t="s">
        <v>122</v>
      </c>
    </row>
    <row r="2" spans="1:2" x14ac:dyDescent="0.2">
      <c r="A2" t="s">
        <v>123</v>
      </c>
      <c r="B2" t="s">
        <v>124</v>
      </c>
    </row>
    <row r="3" spans="1:2" x14ac:dyDescent="0.2">
      <c r="A3" t="s">
        <v>125</v>
      </c>
      <c r="B3" t="s">
        <v>126</v>
      </c>
    </row>
    <row r="4" spans="1:2" x14ac:dyDescent="0.2">
      <c r="A4" t="s">
        <v>127</v>
      </c>
      <c r="B4" t="s">
        <v>128</v>
      </c>
    </row>
    <row r="5" spans="1:2" x14ac:dyDescent="0.2">
      <c r="A5" t="s">
        <v>129</v>
      </c>
      <c r="B5" t="s">
        <v>128</v>
      </c>
    </row>
    <row r="6" spans="1:2" x14ac:dyDescent="0.2">
      <c r="A6" t="s">
        <v>130</v>
      </c>
      <c r="B6" t="s">
        <v>131</v>
      </c>
    </row>
    <row r="7" spans="1:2" x14ac:dyDescent="0.2">
      <c r="A7" t="s">
        <v>132</v>
      </c>
      <c r="B7" t="s">
        <v>133</v>
      </c>
    </row>
    <row r="8" spans="1:2" x14ac:dyDescent="0.2">
      <c r="A8" t="s">
        <v>134</v>
      </c>
      <c r="B8" t="s">
        <v>133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>
      <selection activeCell="B18" sqref="B18"/>
    </sheetView>
  </sheetViews>
  <sheetFormatPr baseColWidth="10" defaultColWidth="11.5" defaultRowHeight="15" x14ac:dyDescent="0.2"/>
  <cols>
    <col min="1" max="1" width="16.5" customWidth="1"/>
    <col min="2" max="2" width="24.5" customWidth="1"/>
  </cols>
  <sheetData>
    <row r="1" spans="1:4" x14ac:dyDescent="0.2">
      <c r="A1" t="s">
        <v>148</v>
      </c>
      <c r="B1" t="s">
        <v>149</v>
      </c>
      <c r="C1" t="s">
        <v>150</v>
      </c>
      <c r="D1" t="s">
        <v>151</v>
      </c>
    </row>
    <row r="2" spans="1:4" x14ac:dyDescent="0.2">
      <c r="A2" t="s">
        <v>185</v>
      </c>
      <c r="B2" t="s">
        <v>184</v>
      </c>
      <c r="C2">
        <f>8760</f>
        <v>8760</v>
      </c>
      <c r="D2" t="s">
        <v>126</v>
      </c>
    </row>
    <row r="3" spans="1:4" ht="16" customHeight="1" x14ac:dyDescent="0.2">
      <c r="A3" s="9" t="s">
        <v>152</v>
      </c>
      <c r="B3" s="10" t="s">
        <v>153</v>
      </c>
      <c r="C3">
        <v>1497</v>
      </c>
    </row>
    <row r="4" spans="1:4" ht="16" customHeight="1" x14ac:dyDescent="0.2">
      <c r="A4" s="9" t="s">
        <v>154</v>
      </c>
      <c r="B4" s="11" t="s">
        <v>155</v>
      </c>
      <c r="C4">
        <v>300</v>
      </c>
    </row>
    <row r="5" spans="1:4" ht="16" customHeight="1" x14ac:dyDescent="0.2">
      <c r="A5" s="9" t="s">
        <v>156</v>
      </c>
      <c r="B5" s="11" t="s">
        <v>157</v>
      </c>
      <c r="C5">
        <f>C3-C4</f>
        <v>1197</v>
      </c>
    </row>
    <row r="6" spans="1:4" x14ac:dyDescent="0.2">
      <c r="A6" t="s">
        <v>158</v>
      </c>
      <c r="B6" t="s">
        <v>159</v>
      </c>
      <c r="C6">
        <v>4</v>
      </c>
      <c r="D6" t="s">
        <v>126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8"/>
  <sheetViews>
    <sheetView workbookViewId="0">
      <selection activeCell="E7" sqref="E7"/>
    </sheetView>
  </sheetViews>
  <sheetFormatPr baseColWidth="10" defaultColWidth="8.83203125" defaultRowHeight="15" x14ac:dyDescent="0.2"/>
  <cols>
    <col min="1" max="1" width="135.83203125" bestFit="1" customWidth="1"/>
    <col min="2" max="2" width="10.5" bestFit="1" customWidth="1"/>
    <col min="3" max="3" width="7.83203125" bestFit="1" customWidth="1"/>
    <col min="4" max="4" width="18" customWidth="1"/>
    <col min="5" max="5" width="77.83203125" bestFit="1" customWidth="1"/>
    <col min="6" max="6" width="17" bestFit="1" customWidth="1"/>
  </cols>
  <sheetData>
    <row r="1" spans="1:6" x14ac:dyDescent="0.2">
      <c r="A1" s="5" t="s">
        <v>135</v>
      </c>
      <c r="B1" s="4" t="s">
        <v>136</v>
      </c>
      <c r="C1" s="4" t="s">
        <v>137</v>
      </c>
      <c r="D1" s="4" t="s">
        <v>138</v>
      </c>
      <c r="E1" s="4"/>
      <c r="F1" s="4" t="s">
        <v>139</v>
      </c>
    </row>
    <row r="2" spans="1:6" x14ac:dyDescent="0.2">
      <c r="A2" t="str" cm="1">
        <f t="array" ref="A2:A28">_xlfn.VSTACK(tbl_gates[id]&amp;" - "&amp;tbl_gates[label],tbl_events[id]&amp;" - "&amp;tbl_events[label])</f>
        <v>COLLISION_ANY_LX - Collision on any LX of the network</v>
      </c>
      <c r="B2" t="s">
        <v>106</v>
      </c>
      <c r="C2" t="s">
        <v>140</v>
      </c>
      <c r="D2" t="s">
        <v>44</v>
      </c>
      <c r="F2" t="s">
        <v>141</v>
      </c>
    </row>
    <row r="3" spans="1:6" x14ac:dyDescent="0.2">
      <c r="A3" t="str">
        <v>COLLISION_ANY_LX_SIGNAL_DF - Collision on any LX of the network due to a dangerous failure of a signal (not including other failures such as interlocking, interface to signal…)</v>
      </c>
      <c r="B3" t="s">
        <v>102</v>
      </c>
      <c r="C3" t="s">
        <v>142</v>
      </c>
      <c r="D3" t="s">
        <v>43</v>
      </c>
      <c r="F3" t="s">
        <v>143</v>
      </c>
    </row>
    <row r="4" spans="1:6" x14ac:dyDescent="0.2">
      <c r="A4" t="str">
        <v>COLLISION_CAT3_NETWORK - Collision on any LX of CAT3 of the network</v>
      </c>
      <c r="B4" t="s">
        <v>144</v>
      </c>
      <c r="D4" t="s">
        <v>140</v>
      </c>
      <c r="F4" t="s">
        <v>145</v>
      </c>
    </row>
    <row r="5" spans="1:6" x14ac:dyDescent="0.2">
      <c r="A5" t="str">
        <v>COLLISION_CAT12_NETWORK - Collision on any LX of CAT1/CAT2 of the network</v>
      </c>
      <c r="B5" t="s">
        <v>146</v>
      </c>
      <c r="D5" t="s">
        <v>142</v>
      </c>
    </row>
    <row r="6" spans="1:6" ht="64" customHeight="1" x14ac:dyDescent="0.2">
      <c r="A6" t="str">
        <v>COLLISION_SPECIFIC_CAT3_LX - Collision on one specific CAT3 LX</v>
      </c>
      <c r="D6" t="s">
        <v>168</v>
      </c>
      <c r="E6" s="8" t="s">
        <v>147</v>
      </c>
    </row>
    <row r="7" spans="1:6" ht="96" customHeight="1" x14ac:dyDescent="0.2">
      <c r="A7" t="str">
        <v>COLLISION_SPECIFIC_CAT1_2_LX - Collision on one specific CAT1/CAT2 LX</v>
      </c>
      <c r="D7" t="s">
        <v>172</v>
      </c>
      <c r="E7" s="8"/>
    </row>
    <row r="8" spans="1:6" ht="96" customHeight="1" x14ac:dyDescent="0.2">
      <c r="A8" t="str">
        <v>DANGEROUS_SIGNALING_ASPECT_CAT3 - DANGEROUS_SIGNALING_ASPECT_CAT3</v>
      </c>
    </row>
    <row r="9" spans="1:6" ht="16" customHeight="1" x14ac:dyDescent="0.2">
      <c r="A9" t="str">
        <v>NO_RESTRICTIVE_SIGNAL_DISPLAYED - NO_RESTRICTIVE_SIGNAL_DISPLAYED</v>
      </c>
      <c r="E9" s="8"/>
    </row>
    <row r="10" spans="1:6" x14ac:dyDescent="0.2">
      <c r="A10" t="str">
        <v>NO_RESTRICTIVE_SIGNAL_DISPLAYED_LONG_SEQ - No restrictive signal displayed when considering a long sequence to have 2 faulty Uls</v>
      </c>
    </row>
    <row r="11" spans="1:6" x14ac:dyDescent="0.2">
      <c r="A11" t="str">
        <v>NO_RESTRICTIVE_SIGNAL_DISPLAYED_LOSS_PS - No restrictive signal displayed when considering a loss of PS</v>
      </c>
    </row>
    <row r="12" spans="1:6" x14ac:dyDescent="0.2">
      <c r="A12" t="str">
        <v>SPURIOUS_PERMISSIVE_SIGNAL_DISPLAYED - SPURIOUS_PERMISSIVE_SIGNAL_DISPLAYED</v>
      </c>
    </row>
    <row r="13" spans="1:6" x14ac:dyDescent="0.2">
      <c r="A13" t="str">
        <v>DANGEROUS_LOSS_UL1_WITHOUT_ALARM1 - Dangerous loss of UL1 when alarm 1 (barrier) is unavailable</v>
      </c>
    </row>
    <row r="14" spans="1:6" x14ac:dyDescent="0.2">
      <c r="A14" t="str">
        <v>DANGEROUS_LOSS_UL2_WITHOUT_ALARM2 - Dangerous loss of UL2 when alarm 2 (barrier) is unavailable</v>
      </c>
    </row>
    <row r="15" spans="1:6" x14ac:dyDescent="0.2">
      <c r="A15" t="str">
        <v>P_LX_CONT - Probability of dangerous failure providing from a signal (and not an Interlocking or interface equipment)</v>
      </c>
    </row>
    <row r="16" spans="1:6" x14ac:dyDescent="0.2">
      <c r="A16" t="str">
        <v>M_CAT3_REP - Multiplicity factor representing the CAT3 LXs by one representative CAT3 LX branch</v>
      </c>
    </row>
    <row r="17" spans="1:1" x14ac:dyDescent="0.2">
      <c r="A17" t="str">
        <v>M_CAT12_REP - Multiplicity factor representing the CAT1/2 LXs by one representative CAT1/2 LX branch</v>
      </c>
    </row>
    <row r="18" spans="1:1" x14ac:dyDescent="0.2">
      <c r="A18" t="str">
        <v>P_TRAIN_PRESENT - Probability of train presence at representative CAT3 LX</v>
      </c>
    </row>
    <row r="19" spans="1:1" x14ac:dyDescent="0.2">
      <c r="A19" t="str">
        <v>P_ROAD_USER_PRESENT - Probability of road user presence at representative CAT3 LX</v>
      </c>
    </row>
    <row r="20" spans="1:1" x14ac:dyDescent="0.2">
      <c r="A20" t="str">
        <v>P_COLLISION_IF_ALL - Probability of collision if all conditions are present</v>
      </c>
    </row>
    <row r="21" spans="1:1" x14ac:dyDescent="0.2">
      <c r="A21" t="str">
        <v>FR_ALARM1 - Dangerous failure of Alarm1 / barrier1</v>
      </c>
    </row>
    <row r="22" spans="1:1" x14ac:dyDescent="0.2">
      <c r="A22" t="str">
        <v>FR_ALARM2 - Dangerous failure of Alarm2 / barrier2</v>
      </c>
    </row>
    <row r="23" spans="1:1" x14ac:dyDescent="0.2">
      <c r="A23" t="str">
        <v>FR_UL1 - Dangerous failure of UL1</v>
      </c>
    </row>
    <row r="24" spans="1:1" x14ac:dyDescent="0.2">
      <c r="A24" t="str">
        <v>FR_UL2 - Dangerous failure of UL2</v>
      </c>
    </row>
    <row r="25" spans="1:1" x14ac:dyDescent="0.2">
      <c r="A25" t="str">
        <v>FR_BIG_ALARM - Dangerous failure of big alarm</v>
      </c>
    </row>
    <row r="26" spans="1:1" x14ac:dyDescent="0.2">
      <c r="A26" t="str">
        <v>FR_PS - Dangerous failure of both PS UL1 and UL2</v>
      </c>
    </row>
    <row r="27" spans="1:1" x14ac:dyDescent="0.2">
      <c r="A27" t="str">
        <v>DF_WHITE_UL_X - Dangerous failure of white UL_X</v>
      </c>
    </row>
    <row r="28" spans="1:1" x14ac:dyDescent="0.2">
      <c r="A28" t="str">
        <v>DF_COLLISION_SPECIFIC_CAT1_2_LX - Dangerous failure leading to collision on CAT1/2 LX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82bc314-ab8e-4d6f-b189-46f02e1f27f2}" enabled="0" method="" siteId="{b82bc314-ab8e-4d6f-b189-46f02e1f27f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events</vt:lpstr>
      <vt:lpstr>gates</vt:lpstr>
      <vt:lpstr>tree</vt:lpstr>
      <vt:lpstr>conf</vt:lpstr>
      <vt:lpstr>specificData</vt:lpstr>
      <vt:lpstr>lists</vt:lpstr>
      <vt:lpstr>APPEARANCE_TYPES</vt:lpstr>
      <vt:lpstr>BOOL_TF</vt:lpstr>
      <vt:lpstr>EVENT_MODEL_TYPES</vt:lpstr>
      <vt:lpstr>GATE_TYPES</vt:lpstr>
      <vt:lpstr>maintenanceInterval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Baroni Raphaël</cp:lastModifiedBy>
  <dcterms:created xsi:type="dcterms:W3CDTF">2026-05-28T06:26:31Z</dcterms:created>
  <dcterms:modified xsi:type="dcterms:W3CDTF">2026-07-06T14:38:39Z</dcterms:modified>
</cp:coreProperties>
</file>